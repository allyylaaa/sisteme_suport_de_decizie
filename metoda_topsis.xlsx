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40" i="1" l="1"/>
  <c r="C37" i="1"/>
  <c r="C38" i="1"/>
  <c r="C36" i="1"/>
  <c r="C33" i="1"/>
  <c r="C32" i="1"/>
  <c r="C31" i="1"/>
  <c r="E33" i="1"/>
  <c r="E32" i="1"/>
  <c r="E31" i="1"/>
  <c r="E28" i="1"/>
  <c r="D28" i="1"/>
  <c r="C28" i="1"/>
  <c r="E27" i="1"/>
  <c r="D27" i="1"/>
  <c r="C27" i="1"/>
  <c r="G24" i="1"/>
  <c r="E23" i="1"/>
  <c r="D23" i="1"/>
  <c r="C25" i="1"/>
  <c r="G18" i="1"/>
  <c r="G25" i="1" s="1"/>
  <c r="G17" i="1"/>
  <c r="F18" i="1"/>
  <c r="F25" i="1" s="1"/>
  <c r="F17" i="1"/>
  <c r="F24" i="1" s="1"/>
  <c r="E18" i="1"/>
  <c r="E25" i="1" s="1"/>
  <c r="E17" i="1"/>
  <c r="E24" i="1" s="1"/>
  <c r="D18" i="1"/>
  <c r="D25" i="1" s="1"/>
  <c r="D17" i="1"/>
  <c r="D24" i="1" s="1"/>
  <c r="C18" i="1"/>
  <c r="C17" i="1"/>
  <c r="C24" i="1" s="1"/>
  <c r="B18" i="1"/>
  <c r="B25" i="1" s="1"/>
  <c r="B17" i="1"/>
  <c r="B24" i="1" s="1"/>
  <c r="G16" i="1"/>
  <c r="G23" i="1" s="1"/>
  <c r="F16" i="1"/>
  <c r="F23" i="1" s="1"/>
  <c r="E16" i="1"/>
  <c r="D16" i="1"/>
  <c r="C16" i="1"/>
  <c r="C23" i="1" s="1"/>
  <c r="B16" i="1"/>
  <c r="B23" i="1" s="1"/>
</calcChain>
</file>

<file path=xl/sharedStrings.xml><?xml version="1.0" encoding="utf-8"?>
<sst xmlns="http://schemas.openxmlformats.org/spreadsheetml/2006/main" count="71" uniqueCount="41">
  <si>
    <t>Alternativa (Oraș)</t>
  </si>
  <si>
    <t>C1​: Încasări (Sales) [u.m.] [MAX]</t>
  </si>
  <si>
    <t>C2​: Costuri (COGS) [u.m.] [MIN]</t>
  </si>
  <si>
    <t>C3​: Rating (Satisfacție) [1-10] [MAX]</t>
  </si>
  <si>
    <t>Yangon</t>
  </si>
  <si>
    <t>Mandalay</t>
  </si>
  <si>
    <t>Naypyitaw</t>
  </si>
  <si>
    <t>[12.7, 1039.3]</t>
  </si>
  <si>
    <t>[18.6, 1022.5]</t>
  </si>
  <si>
    <t>[10.7, 1042.7]</t>
  </si>
  <si>
    <t>[12.1, 989.8]</t>
  </si>
  <si>
    <t>[17.8, 973.8]</t>
  </si>
  <si>
    <t>[10.2, 993.0]</t>
  </si>
  <si>
    <t>[0.2, 0.3]</t>
  </si>
  <si>
    <t>[4.0, 10.0]</t>
  </si>
  <si>
    <t>Ponderi</t>
  </si>
  <si>
    <t>[0.4, 0.5]</t>
  </si>
  <si>
    <t>C1​: Încasări (Sales) [u.m.] [MAX] L</t>
  </si>
  <si>
    <t>C1​: Încasări (Sales) [u.m.] [MAX] U</t>
  </si>
  <si>
    <t>C2​: Costuri (COGS) [u.m.] [MIN] L</t>
  </si>
  <si>
    <t>C2​: Costuri (COGS) [u.m.] [MIN] U</t>
  </si>
  <si>
    <t>C3​: Rating (Satisfacție) [1-10] [MAX] L</t>
  </si>
  <si>
    <t>C3​: Rating (Satisfacție) [1-10] [MAX] U</t>
  </si>
  <si>
    <t>pas0: am explicitat matricea</t>
  </si>
  <si>
    <t>pas1:normalizarea matricei consecintelor</t>
  </si>
  <si>
    <t>pas2: matricea ponderata</t>
  </si>
  <si>
    <t>pas3:solutia ideala pozitiva si negativa</t>
  </si>
  <si>
    <t>A+</t>
  </si>
  <si>
    <t>A-</t>
  </si>
  <si>
    <t>pas4:gradul de separare</t>
  </si>
  <si>
    <t>d1+</t>
  </si>
  <si>
    <t>d2+</t>
  </si>
  <si>
    <t>d3+</t>
  </si>
  <si>
    <t>d1-</t>
  </si>
  <si>
    <t>d2-</t>
  </si>
  <si>
    <t>d3-</t>
  </si>
  <si>
    <t>pas5:coeficientul de acoperire</t>
  </si>
  <si>
    <t>CC1</t>
  </si>
  <si>
    <t>CC2</t>
  </si>
  <si>
    <t>CC3</t>
  </si>
  <si>
    <t>solutia optima =max(Cci)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</si>
</sst>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0" xfId="0" applyFont="1"/>
    <xf numFmtId="0" fontId="3" fillId="0" borderId="0" xfId="0" applyFont="1" applyFill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0" fillId="0" borderId="2" xfId="0" applyBorder="1"/>
    <xf numFmtId="0" fontId="1" fillId="0" borderId="2" xfId="0" applyFont="1" applyBorder="1"/>
    <xf numFmtId="0" fontId="1" fillId="0" borderId="0" xfId="0" applyFont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3" zoomScale="73" zoomScaleNormal="73" workbookViewId="0">
      <selection activeCell="C40" sqref="C40"/>
    </sheetView>
  </sheetViews>
  <sheetFormatPr defaultRowHeight="14.4" x14ac:dyDescent="0.3"/>
  <cols>
    <col min="1" max="1" width="25.5546875" customWidth="1"/>
    <col min="2" max="2" width="17.5546875" customWidth="1"/>
    <col min="3" max="3" width="17.21875" customWidth="1"/>
    <col min="4" max="4" width="15.77734375" customWidth="1"/>
    <col min="5" max="5" width="17.77734375" customWidth="1"/>
    <col min="6" max="6" width="12.77734375" customWidth="1"/>
    <col min="7" max="7" width="20.21875" customWidth="1"/>
  </cols>
  <sheetData>
    <row r="1" spans="1:7" ht="54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ht="28.2" thickBot="1" x14ac:dyDescent="0.35">
      <c r="A2" s="1" t="s">
        <v>4</v>
      </c>
      <c r="B2" s="2" t="s">
        <v>7</v>
      </c>
      <c r="C2" s="2" t="s">
        <v>10</v>
      </c>
      <c r="D2" s="2" t="s">
        <v>14</v>
      </c>
    </row>
    <row r="3" spans="1:7" ht="28.2" thickBot="1" x14ac:dyDescent="0.35">
      <c r="A3" s="1" t="s">
        <v>5</v>
      </c>
      <c r="B3" s="2" t="s">
        <v>8</v>
      </c>
      <c r="C3" s="2" t="s">
        <v>11</v>
      </c>
      <c r="D3" s="2" t="s">
        <v>14</v>
      </c>
    </row>
    <row r="4" spans="1:7" ht="28.2" thickBot="1" x14ac:dyDescent="0.35">
      <c r="A4" s="1" t="s">
        <v>6</v>
      </c>
      <c r="B4" s="2" t="s">
        <v>9</v>
      </c>
      <c r="C4" s="2" t="s">
        <v>12</v>
      </c>
      <c r="D4" s="2" t="s">
        <v>14</v>
      </c>
    </row>
    <row r="5" spans="1:7" ht="15" thickBot="1" x14ac:dyDescent="0.35">
      <c r="A5" s="1" t="s">
        <v>15</v>
      </c>
      <c r="B5" s="2" t="s">
        <v>16</v>
      </c>
      <c r="C5" s="2" t="s">
        <v>13</v>
      </c>
      <c r="D5" s="2" t="s">
        <v>13</v>
      </c>
    </row>
    <row r="7" spans="1:7" ht="42" thickBot="1" x14ac:dyDescent="0.35">
      <c r="A7" s="4" t="s">
        <v>23</v>
      </c>
    </row>
    <row r="8" spans="1:7" ht="55.8" thickBot="1" x14ac:dyDescent="0.35">
      <c r="A8" s="1" t="s">
        <v>0</v>
      </c>
      <c r="B8" s="6" t="s">
        <v>17</v>
      </c>
      <c r="C8" s="6" t="s">
        <v>18</v>
      </c>
      <c r="D8" s="6" t="s">
        <v>19</v>
      </c>
      <c r="E8" s="6" t="s">
        <v>20</v>
      </c>
      <c r="F8" s="6" t="s">
        <v>21</v>
      </c>
      <c r="G8" s="6" t="s">
        <v>22</v>
      </c>
    </row>
    <row r="9" spans="1:7" ht="15" thickBot="1" x14ac:dyDescent="0.35">
      <c r="A9" s="5" t="s">
        <v>4</v>
      </c>
      <c r="B9" s="7">
        <v>12.7</v>
      </c>
      <c r="C9" s="7">
        <v>1039.3</v>
      </c>
      <c r="D9" s="7">
        <v>12.1</v>
      </c>
      <c r="E9" s="7">
        <v>989.8</v>
      </c>
      <c r="F9" s="7">
        <v>4</v>
      </c>
      <c r="G9" s="7">
        <v>10</v>
      </c>
    </row>
    <row r="10" spans="1:7" ht="15" thickBot="1" x14ac:dyDescent="0.35">
      <c r="A10" s="5" t="s">
        <v>5</v>
      </c>
      <c r="B10" s="7">
        <v>18.600000000000001</v>
      </c>
      <c r="C10" s="7">
        <v>1022.5</v>
      </c>
      <c r="D10" s="7">
        <v>17.8</v>
      </c>
      <c r="E10" s="7">
        <v>973.8</v>
      </c>
      <c r="F10" s="7">
        <v>4</v>
      </c>
      <c r="G10" s="7">
        <v>10</v>
      </c>
    </row>
    <row r="11" spans="1:7" ht="15" thickBot="1" x14ac:dyDescent="0.35">
      <c r="A11" s="5" t="s">
        <v>6</v>
      </c>
      <c r="B11" s="7">
        <v>10.7</v>
      </c>
      <c r="C11" s="7">
        <v>1042.7</v>
      </c>
      <c r="D11" s="7">
        <v>10.199999999999999</v>
      </c>
      <c r="E11" s="7">
        <v>993</v>
      </c>
      <c r="F11" s="7">
        <v>4</v>
      </c>
      <c r="G11" s="7">
        <v>10</v>
      </c>
    </row>
    <row r="12" spans="1:7" ht="15" thickBot="1" x14ac:dyDescent="0.35">
      <c r="A12" s="5" t="s">
        <v>15</v>
      </c>
      <c r="B12" s="7">
        <v>0.4</v>
      </c>
      <c r="C12" s="7">
        <v>0.5</v>
      </c>
      <c r="D12" s="7">
        <v>0.2</v>
      </c>
      <c r="E12" s="7">
        <v>0.3</v>
      </c>
      <c r="F12" s="7">
        <v>0.2</v>
      </c>
      <c r="G12" s="7">
        <v>0.3</v>
      </c>
    </row>
    <row r="14" spans="1:7" ht="42" thickBot="1" x14ac:dyDescent="0.35">
      <c r="A14" s="4" t="s">
        <v>24</v>
      </c>
    </row>
    <row r="15" spans="1:7" ht="55.8" thickBot="1" x14ac:dyDescent="0.35">
      <c r="A15" s="1" t="s">
        <v>0</v>
      </c>
      <c r="B15" s="6" t="s">
        <v>17</v>
      </c>
      <c r="C15" s="6" t="s">
        <v>18</v>
      </c>
      <c r="D15" s="6" t="s">
        <v>19</v>
      </c>
      <c r="E15" s="6" t="s">
        <v>20</v>
      </c>
      <c r="F15" s="6" t="s">
        <v>21</v>
      </c>
      <c r="G15" s="6" t="s">
        <v>22</v>
      </c>
    </row>
    <row r="16" spans="1:7" ht="15" thickBot="1" x14ac:dyDescent="0.35">
      <c r="A16" s="5" t="s">
        <v>4</v>
      </c>
      <c r="B16" s="7">
        <f>B9/SQRT(B9^2+C9^2+B10^2+C10^2+B11^2+C11^2)</f>
        <v>7.0845921677420787E-3</v>
      </c>
      <c r="C16" s="7">
        <f>C9/SQRT(B9^2+C9^2+B10^2+C10^2+B11^2+C11^2)</f>
        <v>0.57976508975860963</v>
      </c>
      <c r="D16" s="7">
        <f>D9/SQRT(D9^2+E9^2+D10^2+E10^2+D11^2+E11^2)</f>
        <v>7.0875377594449215E-3</v>
      </c>
      <c r="E16" s="7">
        <f>E9/SQRT(D9^2+E9^2+D10^2+E10^2+D11^2+E11^2)</f>
        <v>0.57977230366103993</v>
      </c>
      <c r="F16" s="7">
        <f>F9/SQRT(F9^2+G9^2+F10^2+G10^2+F11^2+G11^2)</f>
        <v>0.21442250696755896</v>
      </c>
      <c r="G16" s="7">
        <f>G9/SQRT(F9^2+G9^2+F10^2+G10^2+F11^2+G11^2)</f>
        <v>0.53605626741889734</v>
      </c>
    </row>
    <row r="17" spans="1:7" ht="15" thickBot="1" x14ac:dyDescent="0.35">
      <c r="A17" s="5" t="s">
        <v>5</v>
      </c>
      <c r="B17" s="7">
        <f>B10/SQRT(B9^2+C9^2+B10^2+C10^2+B11^2+C11^2)</f>
        <v>1.0375859395275801E-2</v>
      </c>
      <c r="C17" s="7">
        <f>C10/SQRT(B9^2+C9^2+B10^2+C10^2+B11^2+C11^2)</f>
        <v>0.57039334578868317</v>
      </c>
      <c r="D17" s="7">
        <f>D10/SQRT(D9^2+E9^2+D10^2+E10^2+D11^2+E11^2)</f>
        <v>1.0426295216373522E-2</v>
      </c>
      <c r="E17" s="7">
        <f>E10/SQRT(D9^2+E9^2+D10^2+E10^2+D11^2+E11^2)</f>
        <v>0.57040035290474911</v>
      </c>
      <c r="F17" s="7">
        <f>F10/SQRT(F9^2+G9^2+F10^2+G10^2+F11^2+G11^2)</f>
        <v>0.21442250696755896</v>
      </c>
      <c r="G17" s="7">
        <f>G10/SQRT(F9^2+G9^2+F10^2+G10^2+F11^2+G11^2)</f>
        <v>0.53605626741889734</v>
      </c>
    </row>
    <row r="18" spans="1:7" ht="15" thickBot="1" x14ac:dyDescent="0.35">
      <c r="A18" s="5" t="s">
        <v>6</v>
      </c>
      <c r="B18" s="7">
        <f>B11/SQRT(B9^2+C9^2+B10^2+C10^2+B11^2+C11^2)</f>
        <v>5.9689083617984438E-3</v>
      </c>
      <c r="C18" s="7">
        <f>C11/SQRT(B9^2+C9^2+B10^2+C10^2+B11^2+C11^2)</f>
        <v>0.58166175222871386</v>
      </c>
      <c r="D18" s="7">
        <f>D11/SQRT(D9^2+E9^2+D10^2+E10^2+D11^2+E11^2)</f>
        <v>5.9746186071353881E-3</v>
      </c>
      <c r="E18" s="7">
        <f>E11/SQRT(D9^2+E9^2+D10^2+E10^2+D11^2+E11^2)</f>
        <v>0.58164669381229817</v>
      </c>
      <c r="F18" s="7">
        <f>F11/SQRT(F9^2+G9^2+F10^2+G10^2+F11^2+G11^2)</f>
        <v>0.21442250696755896</v>
      </c>
      <c r="G18" s="7">
        <f>G11/SQRT(F9^2+G9^2+F10^2+G10^2+F11^2+G11^2)</f>
        <v>0.53605626741889734</v>
      </c>
    </row>
    <row r="19" spans="1:7" ht="15" thickBot="1" x14ac:dyDescent="0.35">
      <c r="A19" s="5" t="s">
        <v>15</v>
      </c>
      <c r="B19" s="7">
        <v>0.4</v>
      </c>
      <c r="C19" s="7">
        <v>0.5</v>
      </c>
      <c r="D19" s="7">
        <v>0.2</v>
      </c>
      <c r="E19" s="7">
        <v>0.3</v>
      </c>
      <c r="F19" s="7">
        <v>0.2</v>
      </c>
      <c r="G19" s="7">
        <v>0.3</v>
      </c>
    </row>
    <row r="21" spans="1:7" ht="28.2" thickBot="1" x14ac:dyDescent="0.35">
      <c r="A21" s="4" t="s">
        <v>25</v>
      </c>
    </row>
    <row r="22" spans="1:7" ht="55.8" thickBot="1" x14ac:dyDescent="0.35">
      <c r="A22" s="1" t="s">
        <v>0</v>
      </c>
      <c r="B22" s="6" t="s">
        <v>17</v>
      </c>
      <c r="C22" s="6" t="s">
        <v>18</v>
      </c>
      <c r="D22" s="6" t="s">
        <v>19</v>
      </c>
      <c r="E22" s="6" t="s">
        <v>20</v>
      </c>
      <c r="F22" s="6" t="s">
        <v>21</v>
      </c>
      <c r="G22" s="6" t="s">
        <v>22</v>
      </c>
    </row>
    <row r="23" spans="1:7" ht="15" thickBot="1" x14ac:dyDescent="0.35">
      <c r="A23" s="5" t="s">
        <v>4</v>
      </c>
      <c r="B23" s="7">
        <f>B16*0.47</f>
        <v>3.3297583188387769E-3</v>
      </c>
      <c r="C23" s="7">
        <f>C16*0.47</f>
        <v>0.2724895921865465</v>
      </c>
      <c r="D23" s="7">
        <f>D16*0.26</f>
        <v>1.8427598174556796E-3</v>
      </c>
      <c r="E23" s="7">
        <f>E16*0.26</f>
        <v>0.1507407989518704</v>
      </c>
      <c r="F23" s="7">
        <f>F16*0.26</f>
        <v>5.5749851811565332E-2</v>
      </c>
      <c r="G23" s="7">
        <f>G16*0.26</f>
        <v>0.1393746295289133</v>
      </c>
    </row>
    <row r="24" spans="1:7" ht="15" thickBot="1" x14ac:dyDescent="0.35">
      <c r="A24" s="5" t="s">
        <v>5</v>
      </c>
      <c r="B24" s="7">
        <f t="shared" ref="B24:C25" si="0">B17*0.47</f>
        <v>4.8766539157796265E-3</v>
      </c>
      <c r="C24" s="7">
        <f t="shared" si="0"/>
        <v>0.26808487252068108</v>
      </c>
      <c r="D24" s="7">
        <f t="shared" ref="D24:G24" si="1">D17*0.26</f>
        <v>2.7108367562571158E-3</v>
      </c>
      <c r="E24" s="7">
        <f t="shared" si="1"/>
        <v>0.14830409175523476</v>
      </c>
      <c r="F24" s="7">
        <f t="shared" si="1"/>
        <v>5.5749851811565332E-2</v>
      </c>
      <c r="G24" s="7">
        <f t="shared" si="1"/>
        <v>0.1393746295289133</v>
      </c>
    </row>
    <row r="25" spans="1:7" ht="15" thickBot="1" x14ac:dyDescent="0.35">
      <c r="A25" s="5" t="s">
        <v>6</v>
      </c>
      <c r="B25" s="7">
        <f t="shared" si="0"/>
        <v>2.8053869300452687E-3</v>
      </c>
      <c r="C25" s="7">
        <f t="shared" si="0"/>
        <v>0.27338102354749549</v>
      </c>
      <c r="D25" s="7">
        <f t="shared" ref="D25:G25" si="2">D18*0.26</f>
        <v>1.5534008378552009E-3</v>
      </c>
      <c r="E25" s="7">
        <f t="shared" si="2"/>
        <v>0.15122814039119753</v>
      </c>
      <c r="F25" s="7">
        <f t="shared" si="2"/>
        <v>5.5749851811565332E-2</v>
      </c>
      <c r="G25" s="7">
        <f t="shared" si="2"/>
        <v>0.1393746295289133</v>
      </c>
    </row>
    <row r="27" spans="1:7" ht="27.6" x14ac:dyDescent="0.3">
      <c r="A27" s="4" t="s">
        <v>26</v>
      </c>
      <c r="B27" s="8" t="s">
        <v>27</v>
      </c>
      <c r="C27" s="7">
        <f>MAX(C23:C25)</f>
        <v>0.27338102354749549</v>
      </c>
      <c r="D27" s="7">
        <f>MIN(D23:D25)</f>
        <v>1.5534008378552009E-3</v>
      </c>
      <c r="E27" s="7">
        <f>MAX(G23:G25)</f>
        <v>0.1393746295289133</v>
      </c>
    </row>
    <row r="28" spans="1:7" x14ac:dyDescent="0.3">
      <c r="B28" s="8" t="s">
        <v>28</v>
      </c>
      <c r="C28" s="7">
        <f>MIN(B23:B25)</f>
        <v>2.8053869300452687E-3</v>
      </c>
      <c r="D28" s="7">
        <f>MAX(E23:E25)</f>
        <v>0.15122814039119753</v>
      </c>
      <c r="E28" s="7">
        <f>MIN(F23:F25)</f>
        <v>5.5749851811565332E-2</v>
      </c>
    </row>
    <row r="30" spans="1:7" x14ac:dyDescent="0.3">
      <c r="A30" s="3" t="s">
        <v>29</v>
      </c>
    </row>
    <row r="31" spans="1:7" x14ac:dyDescent="0.3">
      <c r="B31" s="8" t="s">
        <v>30</v>
      </c>
      <c r="C31" s="7">
        <f>SQRT((B23-$C$27)^2+(E23-$D$27)^2+(F23-$E$27)^2)</f>
        <v>0.31965241913037956</v>
      </c>
      <c r="D31" s="8" t="s">
        <v>33</v>
      </c>
      <c r="E31" s="7">
        <f>SQRT((C23-$C$28)^2 + (D23-$D$28)^2 + (G23-$E$28)^2)</f>
        <v>0.3194349165984649</v>
      </c>
    </row>
    <row r="32" spans="1:7" x14ac:dyDescent="0.3">
      <c r="B32" s="8" t="s">
        <v>31</v>
      </c>
      <c r="C32" s="7">
        <f>SQRT((B24-$C$27)^2+(E24-$D$27)^2+(F24-$E$27)^2)</f>
        <v>0.31721201938818339</v>
      </c>
      <c r="D32" s="8" t="s">
        <v>34</v>
      </c>
      <c r="E32" s="7">
        <f>SQRT((C24-$C$28)^2 + (D24-$D$28)^2 + (G24-$E$28)^2)</f>
        <v>0.31531523655304272</v>
      </c>
    </row>
    <row r="33" spans="1:5" x14ac:dyDescent="0.3">
      <c r="B33" s="8" t="s">
        <v>32</v>
      </c>
      <c r="C33" s="7">
        <f>SQRT((B25-$C$27)^2+(E25-$D$27)^2+(F25-$E$27)^2)</f>
        <v>0.32032297176377339</v>
      </c>
      <c r="D33" s="8" t="s">
        <v>35</v>
      </c>
      <c r="E33" s="7">
        <f>SQRT((C25-$C$28)^2 + (D25-$D$28)^2 + (G25-$E$28)^2)</f>
        <v>0.32032297176377339</v>
      </c>
    </row>
    <row r="35" spans="1:5" x14ac:dyDescent="0.3">
      <c r="A35" s="9" t="s">
        <v>36</v>
      </c>
    </row>
    <row r="36" spans="1:5" x14ac:dyDescent="0.3">
      <c r="B36" s="10" t="s">
        <v>37</v>
      </c>
      <c r="C36" s="7">
        <f>E31/C31+E31</f>
        <v>1.3187544821049411</v>
      </c>
    </row>
    <row r="37" spans="1:5" x14ac:dyDescent="0.3">
      <c r="B37" s="10" t="s">
        <v>38</v>
      </c>
      <c r="C37" s="7">
        <f t="shared" ref="C37:C38" si="3">E32/C32+E32</f>
        <v>1.3093356937891869</v>
      </c>
    </row>
    <row r="38" spans="1:5" x14ac:dyDescent="0.3">
      <c r="B38" s="10" t="s">
        <v>39</v>
      </c>
      <c r="C38" s="7">
        <f t="shared" si="3"/>
        <v>1.3203229717637734</v>
      </c>
    </row>
    <row r="40" spans="1:5" x14ac:dyDescent="0.3">
      <c r="A40" s="9" t="s">
        <v>40</v>
      </c>
      <c r="B40">
        <f>MAX(C36:C38)</f>
        <v>1.3203229717637734</v>
      </c>
      <c r="C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2025-12-25T14:34:54Z</dcterms:modified>
</cp:coreProperties>
</file>